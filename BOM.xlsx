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th\Documents\Projekte\Espressomaschine Upgrades\Espressomaschine\"/>
    </mc:Choice>
  </mc:AlternateContent>
  <xr:revisionPtr revIDLastSave="0" documentId="13_ncr:1_{13CB722A-7527-4670-9058-3461D597B67B}" xr6:coauthVersionLast="47" xr6:coauthVersionMax="47" xr10:uidLastSave="{00000000-0000-0000-0000-000000000000}"/>
  <bookViews>
    <workbookView xWindow="-16305" yWindow="14040" windowWidth="16410" windowHeight="14145" xr2:uid="{5295B79B-AABD-4FCC-9474-95C75AE1AA52}"/>
  </bookViews>
  <sheets>
    <sheet name="Total" sheetId="1" r:id="rId1"/>
    <sheet name="Tes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G14" i="2"/>
  <c r="G13" i="2"/>
  <c r="G12" i="2"/>
  <c r="G11" i="2"/>
  <c r="G10" i="2"/>
  <c r="G9" i="2"/>
  <c r="G4" i="2"/>
</calcChain>
</file>

<file path=xl/sharedStrings.xml><?xml version="1.0" encoding="utf-8"?>
<sst xmlns="http://schemas.openxmlformats.org/spreadsheetml/2006/main" count="103" uniqueCount="54">
  <si>
    <t>Name</t>
  </si>
  <si>
    <t>Link</t>
  </si>
  <si>
    <t>Anzahl</t>
  </si>
  <si>
    <t>Temperatursensor</t>
  </si>
  <si>
    <t>Boiler Kappe</t>
  </si>
  <si>
    <t>Dichtungsband</t>
  </si>
  <si>
    <t>Platine</t>
  </si>
  <si>
    <t>Eingangsfilter</t>
  </si>
  <si>
    <t>Netzteil</t>
  </si>
  <si>
    <t>Sicherung</t>
  </si>
  <si>
    <t>Relay</t>
  </si>
  <si>
    <t>Mikrocontroller</t>
  </si>
  <si>
    <t>https://www.amazon.de/-/en/gp/product/B089B66DX1/ref=ox_sc_act_title_1?smid=A10PGDQ6G32BHL&amp;psc=1</t>
  </si>
  <si>
    <t>Rolle</t>
  </si>
  <si>
    <t>https://www.amazon.de/-/en/gp/product/B08CSKZCXH/ref=ox_sc_act_title_5?smid=A839N7HCQOMKL&amp;psc=1</t>
  </si>
  <si>
    <t>https://www.amazon.de/-/en/gp/product/B0B8HJBW25/ref=ox_sc_act_title_3?smid=A1MCKJBH7PHRZU&amp;psc=1</t>
  </si>
  <si>
    <t>Lärmisolation</t>
  </si>
  <si>
    <t>https://www.amazon.de/-/en/gp/product/B0C6TMHHWH/ref=ox_sc_act_title_4?smid=ANLS5O61B474L&amp;psc=1</t>
  </si>
  <si>
    <t>https://www.amazon.de/-/en/blanking-internal-according-drinking-regulation/dp/B00IZBKFAG/ref=sr_1_4?crid=1ATV12ADYDC4W&amp;dib=eyJ2IjoiMSJ9.Ax_FnIU10oo9ebWqFO-SVKZJ66IabOsJ60YCVcHYxm9vNEKhbt1LIJijrBBwuQXySy9TkxXSbAmTNWcWzc8yEozv2T7T5BbBVk11xykwxju3KSFzVUjKogIKbqqQvXKOjcKX8PxEo2SsVuGTOUubzbXi9Gw6U0eJqVQSlYXcdeNPkuaUbhsxbC-kqnkN67wV1a3hbiVgiyp5ZmsfNyudRUjRoHB8cyKJHR3xH6vKnDY.MwM3KNNevCwb4x8UsyDngVc_70h4u5JninEePuaOzaQ&amp;dib_tag=se&amp;keywords=1%2F4%2Binch%2C%2Bblank%2Bbrass&amp;qid=1763138251&amp;s=diy&amp;sprefix=1%2F4%2Binch%2Bblank%2Bbrass%2Cdiy%2C92&amp;sr=1-4&amp;th=1</t>
  </si>
  <si>
    <t>https://www.amazon.de/-/en/gp/product/B01KK63SS4/ref=ewc_pr_img_1?smid=A302PFRA3XJWJ7&amp;psc=1</t>
  </si>
  <si>
    <t>Temperatur Isolationsmatte</t>
  </si>
  <si>
    <t>Schalter</t>
  </si>
  <si>
    <t>Brew switch</t>
  </si>
  <si>
    <t>Heißwassser</t>
  </si>
  <si>
    <t>Montagerolle</t>
  </si>
  <si>
    <t>Wärmeleitpaste</t>
  </si>
  <si>
    <t>Status</t>
  </si>
  <si>
    <t>final</t>
  </si>
  <si>
    <t>https://www.amazon.de/-/en/gp/product/B0795DP124/ref=sw_img_1?smid=A31522I6NTHR25&amp;psc=1</t>
  </si>
  <si>
    <t>Testing Thermostat</t>
  </si>
  <si>
    <t>https://www.digikey.de/de/products/detail/mean-well-usa-inc/IRM-05-5/7704652</t>
  </si>
  <si>
    <t>https://www.digikey.de/de/products/detail/panasonic-electric-works/ALDP105W/3641417</t>
  </si>
  <si>
    <t>?</t>
  </si>
  <si>
    <t>nicht sicher</t>
  </si>
  <si>
    <t>Diode</t>
  </si>
  <si>
    <t>https://www.digikey.de/de/products/detail/diotec-semiconductor/1N4001/13164614</t>
  </si>
  <si>
    <t>Transistor</t>
  </si>
  <si>
    <t>https://www.digikey.de/de/products/detail/onsemi/BC550CBU/975565</t>
  </si>
  <si>
    <t>Power stecker zu Verbaucher</t>
  </si>
  <si>
    <t>https://www.digikey.de/de/products/detail/keystone-electronics/1287-ST/303577</t>
  </si>
  <si>
    <t>SSR</t>
  </si>
  <si>
    <t>https://www.digikey.de/de/products/detail/w%C3%BCrth-elektronik/691102810001/21764305</t>
  </si>
  <si>
    <t>Schraubanschluss</t>
  </si>
  <si>
    <t>https://www.digikey.de/de/products/detail/stmicroelectronics/STM32G071CBT6/9749147</t>
  </si>
  <si>
    <t>Dev Board</t>
  </si>
  <si>
    <t>https://www.digikey.de/de/products/detail/stmicroelectronics/NUCLEO-G071RB/9739925</t>
  </si>
  <si>
    <t>Preis</t>
  </si>
  <si>
    <t>sensorplatine</t>
  </si>
  <si>
    <t>https://www.digikey.de/de/products/detail/adafruit-industries-llc/270/9565771</t>
  </si>
  <si>
    <t>https://www.digikey.de/de/products/detail/cantherm/CS704025Y/2195521?srsltid=AfmBOophK-TX-CnZJFt10FCOz_esJuaoXtdsjLbb7I0EY9QXJpteSS7u</t>
  </si>
  <si>
    <t>https://www.digikey.de/en/products/detail/idec/RSSDN-10A/21445226</t>
  </si>
  <si>
    <t>https://www.digikey.de/de/products/detail/stmicroelectronics/NUCLEO-G071RB/9739925?s=N4IgTCBcDaIOIAYDsBGASgIRAXQL5A</t>
  </si>
  <si>
    <t>Draht</t>
  </si>
  <si>
    <t>https://www.amazon.de/KWOKWEI-Enamelled-Magnetic-Electrical-Engineering/dp/B0DSB7GQMX/ref=sr_1_1_sspa?crid=2LJSUN0AK3IG3&amp;dib=eyJ2IjoiMSJ9.E2yCULG9tgeUGx_a5v2auTokNfhhs9uLr7O6oKQHsYSQNZ43rmMiZCGxJOrOe0UHqF9yn_TMwjsn2AcjwxK5pWW1Yq49jzwmz7gjF_73NjROaIILzpvWGUub1cTzvPk9_nZEh7ic1iGraBjlApCmSyyaPnT379ZLPFuOFMWe1tHOVOwZj_EKIfI-uFYbUDhW_Rv2Md2jHfnqfv498WZLVWICsIZuBgRpHxXZV9cjXdcobK1mEwVbBitMMNxphSY92VH_bj5EzS_NKtm6OHqSNoYdL-B8AefDculBOnvLXp8.qrEHQLldfADOyPcGwz8EZesS_ydCpTfuQweDSaPD5jw&amp;dib_tag=se&amp;keywords=kupferlackdraht%2B1%2C5mm&amp;qid=1763246254&amp;sprefix=kupferlackdraht%2B1%2Caps%2C96&amp;sr=8-1-spons&amp;aref=p7F8CA0lUS&amp;sp_csd=d2lkZ2V0TmFtZT1zcF9hdGY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</si>
</sst>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horizontal="center"/>
    </xf>
    <xf numFmtId="0" fontId="1" fillId="2" borderId="5" xfId="0" applyFont="1" applyFill="1" applyBorder="1"/>
    <xf numFmtId="0" fontId="0" fillId="0" borderId="0" xfId="0" applyAlignment="1">
      <alignment horizontal="right"/>
    </xf>
    <xf numFmtId="0" fontId="2" fillId="0" borderId="0" xfId="1"/>
    <xf numFmtId="0" fontId="0" fillId="0" borderId="0" xfId="0" applyAlignment="1">
      <alignment horizontal="left"/>
    </xf>
    <xf numFmtId="0" fontId="1" fillId="2" borderId="5" xfId="0" applyFont="1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de/de/products/detail/stmicroelectronics/NUCLEO-G071RB/9739925" TargetMode="External"/><Relationship Id="rId1" Type="http://schemas.openxmlformats.org/officeDocument/2006/relationships/hyperlink" Target="https://www.digikey.de/de/products/detail/diotec-semiconductor/1N4001/13164614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de/de/products/detail/stmicroelectronics/NUCLEO-G071RB/9739925?s=N4IgTCBcDaIOIAYDsBGASgIRAXQL5A" TargetMode="External"/><Relationship Id="rId1" Type="http://schemas.openxmlformats.org/officeDocument/2006/relationships/hyperlink" Target="https://www.digikey.de/de/products/detail/diotec-semiconductor/1N4001/13164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8830-9ED1-4F88-AADE-BA7CA5F110EB}">
  <dimension ref="B1:F34"/>
  <sheetViews>
    <sheetView tabSelected="1" topLeftCell="A2" workbookViewId="0">
      <selection activeCell="B33" sqref="B33"/>
    </sheetView>
  </sheetViews>
  <sheetFormatPr baseColWidth="10" defaultRowHeight="15" x14ac:dyDescent="0.25"/>
  <cols>
    <col min="2" max="2" width="7.28515625" customWidth="1"/>
    <col min="3" max="3" width="17.7109375" customWidth="1"/>
    <col min="4" max="4" width="24.140625" customWidth="1"/>
    <col min="5" max="5" width="6.85546875" style="5" customWidth="1"/>
    <col min="6" max="6" width="10.28515625" style="5" customWidth="1"/>
  </cols>
  <sheetData>
    <row r="1" spans="2:6" ht="15.75" thickBot="1" x14ac:dyDescent="0.3"/>
    <row r="2" spans="2:6" ht="15.75" thickBot="1" x14ac:dyDescent="0.3">
      <c r="B2" s="1" t="s">
        <v>0</v>
      </c>
      <c r="C2" s="2"/>
      <c r="D2" s="3" t="s">
        <v>1</v>
      </c>
      <c r="E2" s="6" t="s">
        <v>2</v>
      </c>
      <c r="F2" s="4" t="s">
        <v>26</v>
      </c>
    </row>
    <row r="3" spans="2:6" x14ac:dyDescent="0.25">
      <c r="B3" t="s">
        <v>3</v>
      </c>
      <c r="E3" s="5">
        <v>3</v>
      </c>
    </row>
    <row r="4" spans="2:6" x14ac:dyDescent="0.25">
      <c r="B4" t="s">
        <v>4</v>
      </c>
      <c r="D4" t="s">
        <v>18</v>
      </c>
      <c r="E4" s="5">
        <v>1</v>
      </c>
      <c r="F4" s="5" t="s">
        <v>27</v>
      </c>
    </row>
    <row r="5" spans="2:6" x14ac:dyDescent="0.25">
      <c r="B5" t="s">
        <v>25</v>
      </c>
      <c r="D5" t="s">
        <v>28</v>
      </c>
      <c r="E5" s="5">
        <v>1</v>
      </c>
      <c r="F5" s="5" t="s">
        <v>27</v>
      </c>
    </row>
    <row r="6" spans="2:6" x14ac:dyDescent="0.25">
      <c r="B6" t="s">
        <v>5</v>
      </c>
      <c r="D6" t="s">
        <v>19</v>
      </c>
      <c r="E6" s="5">
        <v>1</v>
      </c>
      <c r="F6" s="5" t="s">
        <v>27</v>
      </c>
    </row>
    <row r="7" spans="2:6" x14ac:dyDescent="0.25">
      <c r="B7" t="s">
        <v>29</v>
      </c>
      <c r="D7" t="s">
        <v>12</v>
      </c>
      <c r="E7" s="5">
        <v>1</v>
      </c>
    </row>
    <row r="8" spans="2:6" x14ac:dyDescent="0.25">
      <c r="B8" t="s">
        <v>13</v>
      </c>
      <c r="D8" t="s">
        <v>14</v>
      </c>
      <c r="E8" s="5">
        <v>1</v>
      </c>
    </row>
    <row r="9" spans="2:6" x14ac:dyDescent="0.25">
      <c r="B9" t="s">
        <v>20</v>
      </c>
      <c r="D9" t="s">
        <v>15</v>
      </c>
      <c r="E9" s="5">
        <v>1</v>
      </c>
    </row>
    <row r="10" spans="2:6" x14ac:dyDescent="0.25">
      <c r="B10" t="s">
        <v>16</v>
      </c>
      <c r="D10" t="s">
        <v>17</v>
      </c>
      <c r="E10" s="5">
        <v>1</v>
      </c>
    </row>
    <row r="11" spans="2:6" x14ac:dyDescent="0.25">
      <c r="B11" t="s">
        <v>24</v>
      </c>
      <c r="D11" t="s">
        <v>14</v>
      </c>
      <c r="E11" s="5">
        <v>1</v>
      </c>
    </row>
    <row r="13" spans="2:6" x14ac:dyDescent="0.25">
      <c r="B13" t="s">
        <v>21</v>
      </c>
    </row>
    <row r="14" spans="2:6" x14ac:dyDescent="0.25">
      <c r="C14" t="s">
        <v>22</v>
      </c>
    </row>
    <row r="15" spans="2:6" x14ac:dyDescent="0.25">
      <c r="C15" t="s">
        <v>23</v>
      </c>
    </row>
    <row r="17" spans="2:6" x14ac:dyDescent="0.25">
      <c r="B17" t="s">
        <v>6</v>
      </c>
    </row>
    <row r="18" spans="2:6" x14ac:dyDescent="0.25">
      <c r="C18" t="s">
        <v>7</v>
      </c>
      <c r="D18" t="s">
        <v>30</v>
      </c>
      <c r="E18" s="5">
        <v>1</v>
      </c>
      <c r="F18" s="5" t="s">
        <v>27</v>
      </c>
    </row>
    <row r="19" spans="2:6" x14ac:dyDescent="0.25">
      <c r="C19" t="s">
        <v>8</v>
      </c>
    </row>
    <row r="20" spans="2:6" x14ac:dyDescent="0.25">
      <c r="C20" t="s">
        <v>9</v>
      </c>
    </row>
    <row r="21" spans="2:6" x14ac:dyDescent="0.25">
      <c r="C21" t="s">
        <v>42</v>
      </c>
      <c r="D21" t="s">
        <v>41</v>
      </c>
      <c r="E21" s="5">
        <v>3</v>
      </c>
      <c r="F21" s="5" t="s">
        <v>27</v>
      </c>
    </row>
    <row r="24" spans="2:6" x14ac:dyDescent="0.25">
      <c r="C24" t="s">
        <v>10</v>
      </c>
    </row>
    <row r="25" spans="2:6" x14ac:dyDescent="0.25">
      <c r="C25" s="7" t="s">
        <v>10</v>
      </c>
      <c r="D25" t="s">
        <v>31</v>
      </c>
      <c r="E25" s="5" t="s">
        <v>32</v>
      </c>
      <c r="F25" s="5" t="s">
        <v>33</v>
      </c>
    </row>
    <row r="26" spans="2:6" x14ac:dyDescent="0.25">
      <c r="C26" s="7" t="s">
        <v>34</v>
      </c>
      <c r="D26" s="8" t="s">
        <v>35</v>
      </c>
      <c r="E26" s="5" t="s">
        <v>32</v>
      </c>
      <c r="F26" s="5" t="s">
        <v>33</v>
      </c>
    </row>
    <row r="27" spans="2:6" x14ac:dyDescent="0.25">
      <c r="C27" s="7" t="s">
        <v>36</v>
      </c>
      <c r="D27" t="s">
        <v>37</v>
      </c>
      <c r="E27" s="5" t="s">
        <v>32</v>
      </c>
      <c r="F27" s="5" t="s">
        <v>33</v>
      </c>
    </row>
    <row r="28" spans="2:6" x14ac:dyDescent="0.25">
      <c r="C28" s="9" t="s">
        <v>38</v>
      </c>
      <c r="D28" t="s">
        <v>39</v>
      </c>
      <c r="E28" s="5" t="s">
        <v>32</v>
      </c>
      <c r="F28" s="5" t="s">
        <v>33</v>
      </c>
    </row>
    <row r="29" spans="2:6" x14ac:dyDescent="0.25">
      <c r="C29" s="7"/>
    </row>
    <row r="30" spans="2:6" x14ac:dyDescent="0.25">
      <c r="C30" s="7"/>
    </row>
    <row r="33" spans="3:5" x14ac:dyDescent="0.25">
      <c r="C33" t="s">
        <v>11</v>
      </c>
      <c r="D33" s="8" t="s">
        <v>45</v>
      </c>
      <c r="E33" s="5">
        <v>1</v>
      </c>
    </row>
    <row r="34" spans="3:5" x14ac:dyDescent="0.25">
      <c r="C34" t="s">
        <v>44</v>
      </c>
      <c r="D34" t="s">
        <v>43</v>
      </c>
      <c r="E34" s="5">
        <v>1</v>
      </c>
    </row>
  </sheetData>
  <hyperlinks>
    <hyperlink ref="D26" r:id="rId1" xr:uid="{0B325DB1-71A3-4DE2-A7AE-660B2DC66AD7}"/>
    <hyperlink ref="D33" r:id="rId2" xr:uid="{8BF15B32-4C1F-4962-9E28-BCB222B34FF0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3D75-B579-406F-815C-26529303AF29}">
  <dimension ref="B1:G16"/>
  <sheetViews>
    <sheetView workbookViewId="0">
      <selection activeCell="B2" sqref="B2:G16"/>
    </sheetView>
  </sheetViews>
  <sheetFormatPr baseColWidth="10" defaultRowHeight="15" x14ac:dyDescent="0.25"/>
  <sheetData>
    <row r="1" spans="2:7" ht="15.75" thickBot="1" x14ac:dyDescent="0.3"/>
    <row r="2" spans="2:7" ht="15.75" thickBot="1" x14ac:dyDescent="0.3">
      <c r="B2" s="1" t="s">
        <v>0</v>
      </c>
      <c r="C2" s="2"/>
      <c r="D2" s="3" t="s">
        <v>1</v>
      </c>
      <c r="E2" s="6" t="s">
        <v>2</v>
      </c>
      <c r="F2" s="10" t="s">
        <v>26</v>
      </c>
      <c r="G2" s="4" t="s">
        <v>46</v>
      </c>
    </row>
    <row r="3" spans="2:7" x14ac:dyDescent="0.25">
      <c r="B3" t="s">
        <v>3</v>
      </c>
      <c r="E3" s="5">
        <v>1</v>
      </c>
      <c r="F3" s="11" t="s">
        <v>27</v>
      </c>
      <c r="G3">
        <v>12.91</v>
      </c>
    </row>
    <row r="4" spans="2:7" x14ac:dyDescent="0.25">
      <c r="B4" t="s">
        <v>47</v>
      </c>
      <c r="D4" t="s">
        <v>48</v>
      </c>
      <c r="E4" s="5">
        <v>1</v>
      </c>
      <c r="F4" s="11" t="s">
        <v>27</v>
      </c>
      <c r="G4">
        <f>E4*8.59</f>
        <v>8.59</v>
      </c>
    </row>
    <row r="5" spans="2:7" x14ac:dyDescent="0.25">
      <c r="B5" t="s">
        <v>4</v>
      </c>
      <c r="D5" t="s">
        <v>18</v>
      </c>
      <c r="E5" s="5">
        <v>1</v>
      </c>
      <c r="F5" s="11" t="s">
        <v>27</v>
      </c>
      <c r="G5">
        <v>3.32</v>
      </c>
    </row>
    <row r="6" spans="2:7" x14ac:dyDescent="0.25">
      <c r="B6" t="s">
        <v>25</v>
      </c>
      <c r="D6" t="s">
        <v>28</v>
      </c>
      <c r="E6" s="5">
        <v>1</v>
      </c>
      <c r="F6" s="11" t="s">
        <v>27</v>
      </c>
      <c r="G6">
        <v>6.48</v>
      </c>
    </row>
    <row r="7" spans="2:7" x14ac:dyDescent="0.25">
      <c r="B7" t="s">
        <v>5</v>
      </c>
      <c r="D7" t="s">
        <v>19</v>
      </c>
      <c r="E7" s="5">
        <v>1</v>
      </c>
      <c r="F7" s="11" t="s">
        <v>27</v>
      </c>
      <c r="G7">
        <v>3.32</v>
      </c>
    </row>
    <row r="8" spans="2:7" x14ac:dyDescent="0.25">
      <c r="B8" t="s">
        <v>29</v>
      </c>
      <c r="D8" t="s">
        <v>49</v>
      </c>
      <c r="E8" s="5">
        <v>1</v>
      </c>
      <c r="F8" s="11" t="s">
        <v>27</v>
      </c>
      <c r="G8">
        <v>4.05</v>
      </c>
    </row>
    <row r="9" spans="2:7" x14ac:dyDescent="0.25">
      <c r="B9" t="s">
        <v>42</v>
      </c>
      <c r="D9" t="s">
        <v>41</v>
      </c>
      <c r="E9" s="5">
        <v>10</v>
      </c>
      <c r="F9" s="11" t="s">
        <v>27</v>
      </c>
      <c r="G9">
        <f>E9*0.86</f>
        <v>8.6</v>
      </c>
    </row>
    <row r="10" spans="2:7" x14ac:dyDescent="0.25">
      <c r="B10" s="9" t="s">
        <v>10</v>
      </c>
      <c r="D10" t="s">
        <v>31</v>
      </c>
      <c r="E10" s="5">
        <v>5</v>
      </c>
      <c r="F10" s="11" t="s">
        <v>27</v>
      </c>
      <c r="G10">
        <f>E10*0.88</f>
        <v>4.4000000000000004</v>
      </c>
    </row>
    <row r="11" spans="2:7" x14ac:dyDescent="0.25">
      <c r="B11" s="9" t="s">
        <v>34</v>
      </c>
      <c r="D11" s="8" t="s">
        <v>35</v>
      </c>
      <c r="E11" s="5">
        <v>5</v>
      </c>
      <c r="F11" s="11" t="s">
        <v>27</v>
      </c>
      <c r="G11">
        <f>E11*0.11</f>
        <v>0.55000000000000004</v>
      </c>
    </row>
    <row r="12" spans="2:7" x14ac:dyDescent="0.25">
      <c r="B12" s="9" t="s">
        <v>36</v>
      </c>
      <c r="D12" t="s">
        <v>37</v>
      </c>
      <c r="E12" s="5">
        <v>5</v>
      </c>
      <c r="F12" s="11" t="s">
        <v>27</v>
      </c>
      <c r="G12">
        <f>E12*0.25</f>
        <v>1.25</v>
      </c>
    </row>
    <row r="13" spans="2:7" x14ac:dyDescent="0.25">
      <c r="B13" s="9" t="s">
        <v>38</v>
      </c>
      <c r="D13" t="s">
        <v>39</v>
      </c>
      <c r="E13" s="5">
        <v>5</v>
      </c>
      <c r="F13" s="11" t="s">
        <v>27</v>
      </c>
      <c r="G13">
        <f>E13*0.15</f>
        <v>0.75</v>
      </c>
    </row>
    <row r="14" spans="2:7" x14ac:dyDescent="0.25">
      <c r="B14" t="s">
        <v>40</v>
      </c>
      <c r="D14" t="s">
        <v>50</v>
      </c>
      <c r="E14" s="5">
        <v>2</v>
      </c>
      <c r="F14" s="11" t="s">
        <v>27</v>
      </c>
      <c r="G14">
        <f>E14*28.47</f>
        <v>56.94</v>
      </c>
    </row>
    <row r="15" spans="2:7" x14ac:dyDescent="0.25">
      <c r="B15" t="s">
        <v>44</v>
      </c>
      <c r="D15" s="8" t="s">
        <v>51</v>
      </c>
      <c r="E15" s="5">
        <v>1</v>
      </c>
      <c r="F15" s="11" t="s">
        <v>27</v>
      </c>
      <c r="G15">
        <f>E15*9.54</f>
        <v>9.5399999999999991</v>
      </c>
    </row>
    <row r="16" spans="2:7" x14ac:dyDescent="0.25">
      <c r="B16" s="9" t="s">
        <v>52</v>
      </c>
      <c r="D16" t="s">
        <v>53</v>
      </c>
      <c r="E16" s="5">
        <v>1</v>
      </c>
      <c r="F16" s="11" t="s">
        <v>27</v>
      </c>
      <c r="G16">
        <v>16.989999999999998</v>
      </c>
    </row>
  </sheetData>
  <hyperlinks>
    <hyperlink ref="D11" r:id="rId1" xr:uid="{84E1A967-9580-41F2-9208-60D2B50F464F}"/>
    <hyperlink ref="D15" r:id="rId2" xr:uid="{69DB1854-B6DA-4FCC-A5BD-73C589745965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Total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Luithle</dc:creator>
  <cp:lastModifiedBy>Moritz Luithle</cp:lastModifiedBy>
  <dcterms:created xsi:type="dcterms:W3CDTF">2025-11-15T10:51:59Z</dcterms:created>
  <dcterms:modified xsi:type="dcterms:W3CDTF">2025-11-15T23:31:43Z</dcterms:modified>
</cp:coreProperties>
</file>